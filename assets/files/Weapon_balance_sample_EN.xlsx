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 balance" sheetId="1" r:id="rId5"/>
  </sheets>
  <definedNames>
    <definedName name="HITCHANCE_R">LAMBDA(angle, distance, target_radius, MIN((target_radius^2)/((TAN(RADIANS(angle)) * distance)^2),1))</definedName>
    <definedName name="COUNT_STK">LAMBDA(target_hp, damage, projectile_count, ROUNDUP(target_hp / (damage * projectile_count)))</definedName>
    <definedName name="HITCHANCE">LAMBDA(angle, distance, target_horizontal, target_vertical, MIN((target_horizontal*target_vertical)/(PI()*(TAN(RADIANS(angle)) * distance)^2),1))</definedName>
  </definedNames>
  <calcPr/>
</workbook>
</file>

<file path=xl/sharedStrings.xml><?xml version="1.0" encoding="utf-8"?>
<sst xmlns="http://schemas.openxmlformats.org/spreadsheetml/2006/main" count="32" uniqueCount="32">
  <si>
    <t>Weapon parameters</t>
  </si>
  <si>
    <t>Derived stats</t>
  </si>
  <si>
    <t>Body TTK by distance</t>
  </si>
  <si>
    <t>Head TTK by distance</t>
  </si>
  <si>
    <t>Model parameters</t>
  </si>
  <si>
    <t>Base HP</t>
  </si>
  <si>
    <t>Target height, m</t>
  </si>
  <si>
    <t>Target width, m</t>
  </si>
  <si>
    <t>Head size, m</t>
  </si>
  <si>
    <t>Name</t>
  </si>
  <si>
    <t>Hip-fire spread, deg</t>
  </si>
  <si>
    <t>ADS spread, deg</t>
  </si>
  <si>
    <t>Max damage range, m</t>
  </si>
  <si>
    <t>Min damage, % of base</t>
  </si>
  <si>
    <t>Min damage range, m</t>
  </si>
  <si>
    <t>Damage</t>
  </si>
  <si>
    <t>Critical damage multiplier</t>
  </si>
  <si>
    <t>Projectiles per shot</t>
  </si>
  <si>
    <t>Fire rate, RPM</t>
  </si>
  <si>
    <t>Magazine</t>
  </si>
  <si>
    <t>ADS time, s</t>
  </si>
  <si>
    <t>Reload time, s</t>
  </si>
  <si>
    <t>DPS (RPM*DMG)</t>
  </si>
  <si>
    <t>DPS (DMG/TIME)</t>
  </si>
  <si>
    <t>DPM</t>
  </si>
  <si>
    <t>Base STK</t>
  </si>
  <si>
    <t>MK 14 EBR</t>
  </si>
  <si>
    <t>SVD</t>
  </si>
  <si>
    <t>Mosin–Nagant</t>
  </si>
  <si>
    <t>Remington 700</t>
  </si>
  <si>
    <t>Notes</t>
  </si>
  <si>
    <t xml:space="preserve">- Balance goal: comparable rifle TTK at ranges up to 100 m, with each rifle having its own strengths and weaknesses compared to its competitors
- Hit probability is calculated by comparing the spread area with the area of a full-height 1.8 × 0.6 m target. The target size and HP can be changed in "Model parameters", cells BB2–BE2
- The "Projectiles per shot" parameter is there to support shotgun balancing in the future
- Hip-fire and ADS spread are set separately
- Aim-down-sights time is added to TTK when firing through the sight
- TTK is calculated for both hip fire and ADS, and the better of the two is used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</si>
</sst>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Oswald"/>
    </font>
    <font/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Roboto Condensed"/>
    </font>
  </fonts>
  <fills count="8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0" fontId="2" numFmtId="0" xfId="0" applyBorder="1" applyFont="1"/>
    <xf borderId="0" fillId="3" fontId="1" numFmtId="0" xfId="0" applyAlignment="1" applyFill="1" applyFont="1">
      <alignment horizontal="center" shrinkToFit="0" wrapText="1"/>
    </xf>
    <xf borderId="0" fillId="4" fontId="1" numFmtId="2" xfId="0" applyAlignment="1" applyFill="1" applyFont="1" applyNumberFormat="1">
      <alignment horizontal="center" readingOrder="0" shrinkToFit="0" wrapText="1"/>
    </xf>
    <xf borderId="2" fillId="4" fontId="1" numFmtId="2" xfId="0" applyAlignment="1" applyBorder="1" applyFill="1" applyFont="1" applyNumberFormat="1">
      <alignment horizontal="center" readingOrder="0" shrinkToFit="0" wrapText="1"/>
    </xf>
    <xf borderId="0" fillId="5" fontId="3" numFmtId="0" xfId="0" applyAlignment="1" applyFill="1" applyFont="1">
      <alignment horizontal="center" shrinkToFit="0" wrapText="1"/>
    </xf>
    <xf borderId="0" fillId="6" fontId="3" numFmtId="0" xfId="0" applyAlignment="1" applyFill="1" applyFont="1">
      <alignment horizontal="center" readingOrder="0" shrinkToFit="0" wrapText="1"/>
    </xf>
    <xf borderId="0" fillId="6" fontId="3" numFmtId="0" xfId="0" applyAlignment="1" applyFill="1" applyFont="1">
      <alignment horizontal="center" readingOrder="0" shrinkToFit="0" vertical="bottom" wrapText="1"/>
    </xf>
    <xf borderId="0" fillId="2" fontId="4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1" fillId="3" fontId="1" numFmtId="2" xfId="0" applyAlignment="1" applyBorder="1" applyFill="1" applyFont="1" applyNumberFormat="1">
      <alignment horizontal="center" readingOrder="0" shrinkToFit="0" wrapText="1"/>
    </xf>
    <xf borderId="0" fillId="4" fontId="1" numFmtId="2" xfId="0" applyAlignment="1" applyFill="1" applyFont="1" applyNumberFormat="1">
      <alignment horizontal="center" shrinkToFit="0" wrapText="1"/>
    </xf>
    <xf borderId="1" fillId="4" fontId="1" numFmtId="2" xfId="0" applyAlignment="1" applyBorder="1" applyFill="1" applyFont="1" applyNumberFormat="1">
      <alignment horizontal="center" readingOrder="0" shrinkToFit="0" wrapText="1"/>
    </xf>
    <xf borderId="2" fillId="4" fontId="1" numFmtId="2" xfId="0" applyAlignment="1" applyBorder="1" applyFill="1" applyFont="1" applyNumberFormat="1">
      <alignment horizontal="center" shrinkToFit="0" wrapText="1"/>
    </xf>
    <xf borderId="0" fillId="0" fontId="3" numFmtId="0" xfId="0" applyFont="1"/>
    <xf borderId="0" fillId="6" fontId="3" numFmtId="0" xfId="0" applyFill="1" applyFont="1"/>
    <xf borderId="0" fillId="6" fontId="3" numFmtId="0" xfId="0" applyAlignment="1" applyFill="1" applyFont="1">
      <alignment horizontal="center" readingOrder="0"/>
    </xf>
    <xf borderId="0" fillId="6" fontId="3" numFmtId="0" xfId="0" applyAlignment="1" applyFill="1" applyFont="1">
      <alignment readingOrder="0"/>
    </xf>
    <xf borderId="0" fillId="5" fontId="5" numFmtId="0" xfId="0" applyAlignment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0" fillId="5" fontId="6" numFmtId="2" xfId="0" applyAlignment="1" applyFill="1" applyFont="1" applyNumberFormat="1">
      <alignment horizontal="center"/>
    </xf>
    <xf borderId="1" fillId="5" fontId="5" numFmtId="0" xfId="0" applyAlignment="1" applyBorder="1" applyFill="1" applyFont="1">
      <alignment horizontal="center"/>
    </xf>
    <xf borderId="0" fillId="5" fontId="5" numFmtId="4" xfId="0" applyAlignment="1" applyFill="1" applyFont="1" applyNumberFormat="1">
      <alignment horizontal="center" readingOrder="0"/>
    </xf>
    <xf borderId="2" fillId="5" fontId="5" numFmtId="4" xfId="0" applyAlignment="1" applyBorder="1" applyFill="1" applyFont="1" applyNumberFormat="1">
      <alignment horizontal="center" readingOrder="0"/>
    </xf>
    <xf borderId="1" fillId="5" fontId="5" numFmtId="4" xfId="0" applyAlignment="1" applyBorder="1" applyFill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Weapon balanc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AY6" displayName="Table_1" name="Table_1" id="1">
  <tableColumns count="5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</tableColumns>
  <tableStyleInfo name="Weapon bal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customWidth="1" min="1" max="1" width="15.0"/>
    <col customWidth="1" min="2" max="2" width="10.75"/>
    <col customWidth="1" min="3" max="3" width="8.5" outlineLevel="1"/>
    <col customWidth="1" min="4" max="4" width="11.5" outlineLevel="1"/>
    <col customWidth="1" min="5" max="5" width="10.75" outlineLevel="1"/>
    <col customWidth="1" min="6" max="7" width="8.5" outlineLevel="1"/>
    <col customWidth="1" min="8" max="8" width="10.63" outlineLevel="1"/>
    <col customWidth="1" min="9" max="11" width="8.5" outlineLevel="1"/>
    <col customWidth="1" min="12" max="12" width="11.88" outlineLevel="1"/>
    <col customWidth="1" min="13" max="13" width="8.5" outlineLevel="1"/>
    <col customWidth="1" min="14" max="14" width="8.88"/>
    <col customWidth="1" min="15" max="15" width="9.75" outlineLevel="1"/>
    <col customWidth="1" min="16" max="19" width="8.5" outlineLevel="1"/>
    <col customWidth="1" min="20" max="20" width="8.5"/>
    <col customWidth="1" min="21" max="35" width="8.5" outlineLevel="1"/>
    <col customWidth="1" min="36" max="36" width="8.5"/>
    <col customWidth="1" min="37" max="51" width="8.5" outlineLevel="1"/>
  </cols>
  <sheetData>
    <row r="1" ht="44.25" customHeight="1">
      <c r="B1" s="1" t="s">
        <v>0</v>
      </c>
      <c r="M1" s="2"/>
      <c r="N1" s="3" t="s">
        <v>1</v>
      </c>
      <c r="S1" s="2"/>
      <c r="T1" s="4" t="s">
        <v>2</v>
      </c>
      <c r="AI1" s="2"/>
      <c r="AJ1" s="5" t="s">
        <v>3</v>
      </c>
      <c r="AY1" s="2"/>
      <c r="AZ1" s="6"/>
      <c r="BA1" s="7" t="s">
        <v>4</v>
      </c>
      <c r="BB1" s="8" t="s">
        <v>5</v>
      </c>
      <c r="BC1" s="8" t="s">
        <v>6</v>
      </c>
      <c r="BD1" s="8" t="s">
        <v>7</v>
      </c>
      <c r="BE1" s="8" t="s">
        <v>8</v>
      </c>
    </row>
    <row r="2" ht="71.25" customHeight="1">
      <c r="A2" s="9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0" t="s">
        <v>19</v>
      </c>
      <c r="L2" s="1" t="s">
        <v>20</v>
      </c>
      <c r="M2" s="11" t="s">
        <v>21</v>
      </c>
      <c r="N2" s="3" t="s">
        <v>22</v>
      </c>
      <c r="O2" s="3" t="s">
        <v>23</v>
      </c>
      <c r="P2" s="3" t="s">
        <v>24</v>
      </c>
      <c r="Q2" s="12" t="str">
        <f>"+HIP spread radius per 10 m"</f>
        <v>+HIP spread radius per 10 m</v>
      </c>
      <c r="R2" s="12" t="str">
        <f>"+ADS spread radius per 10 m"</f>
        <v>+ADS spread radius per 10 m</v>
      </c>
      <c r="S2" s="13" t="s">
        <v>25</v>
      </c>
      <c r="T2" s="14">
        <v>5.0</v>
      </c>
      <c r="U2" s="14">
        <v>10.0</v>
      </c>
      <c r="V2" s="14">
        <v>15.0</v>
      </c>
      <c r="W2" s="14">
        <v>20.0</v>
      </c>
      <c r="X2" s="14">
        <v>30.0</v>
      </c>
      <c r="Y2" s="14">
        <v>40.0</v>
      </c>
      <c r="Z2" s="14">
        <v>50.0</v>
      </c>
      <c r="AA2" s="4">
        <v>60.0</v>
      </c>
      <c r="AB2" s="4">
        <v>70.0</v>
      </c>
      <c r="AC2" s="4">
        <v>80.0</v>
      </c>
      <c r="AD2" s="4">
        <v>90.0</v>
      </c>
      <c r="AE2" s="14">
        <v>100.0</v>
      </c>
      <c r="AF2" s="4">
        <v>125.0</v>
      </c>
      <c r="AG2" s="4">
        <v>150.0</v>
      </c>
      <c r="AH2" s="4">
        <v>175.0</v>
      </c>
      <c r="AI2" s="15">
        <v>200.0</v>
      </c>
      <c r="AJ2" s="16">
        <v>5.0</v>
      </c>
      <c r="AK2" s="14">
        <v>10.0</v>
      </c>
      <c r="AL2" s="14">
        <v>15.0</v>
      </c>
      <c r="AM2" s="14">
        <v>20.0</v>
      </c>
      <c r="AN2" s="14">
        <v>30.0</v>
      </c>
      <c r="AO2" s="14">
        <v>40.0</v>
      </c>
      <c r="AP2" s="14">
        <v>50.0</v>
      </c>
      <c r="AQ2" s="4">
        <v>60.0</v>
      </c>
      <c r="AR2" s="4">
        <v>70.0</v>
      </c>
      <c r="AS2" s="4">
        <v>80.0</v>
      </c>
      <c r="AT2" s="4">
        <v>90.0</v>
      </c>
      <c r="AU2" s="14">
        <v>100.0</v>
      </c>
      <c r="AV2" s="4">
        <v>125.0</v>
      </c>
      <c r="AW2" s="4">
        <v>150.0</v>
      </c>
      <c r="AX2" s="4">
        <v>175.0</v>
      </c>
      <c r="AY2" s="15">
        <v>200.0</v>
      </c>
      <c r="AZ2" s="17"/>
      <c r="BA2" s="18"/>
      <c r="BB2" s="19">
        <v>100.0</v>
      </c>
      <c r="BC2" s="20">
        <v>1.8</v>
      </c>
      <c r="BD2" s="20">
        <v>0.6</v>
      </c>
      <c r="BE2" s="20">
        <v>0.3</v>
      </c>
    </row>
    <row r="3">
      <c r="A3" s="21" t="s">
        <v>26</v>
      </c>
      <c r="B3" s="21">
        <v>4.0</v>
      </c>
      <c r="C3" s="21">
        <v>0.3</v>
      </c>
      <c r="D3" s="21">
        <v>30.0</v>
      </c>
      <c r="E3" s="21">
        <v>0.65</v>
      </c>
      <c r="F3" s="21">
        <v>110.0</v>
      </c>
      <c r="G3" s="21">
        <v>32.0</v>
      </c>
      <c r="H3" s="21">
        <v>1.5</v>
      </c>
      <c r="I3" s="21">
        <v>1.0</v>
      </c>
      <c r="J3" s="21">
        <v>225.0</v>
      </c>
      <c r="K3" s="21">
        <v>20.0</v>
      </c>
      <c r="L3" s="21">
        <v>0.2</v>
      </c>
      <c r="M3" s="22">
        <v>4.0</v>
      </c>
      <c r="N3" s="23">
        <f t="shared" ref="N3:N6" si="4">IFERROR(G3*I3*J3/60,"No values")</f>
        <v>120</v>
      </c>
      <c r="O3" s="23">
        <f t="shared" ref="O3:O6" si="5">P3 / 60</f>
        <v>70.58823529</v>
      </c>
      <c r="P3" s="23">
        <f t="shared" ref="P3:P6" si="6"> (60 / ((K3-1) * (60/J3) + M3)) * G3 * K3 * I3</f>
        <v>4235.294118</v>
      </c>
      <c r="Q3" s="23">
        <f t="shared" ref="Q3:R3" si="1"> TAN(RADIANS(B3)) * 10</f>
        <v>0.6992681194</v>
      </c>
      <c r="R3" s="23">
        <f t="shared" si="1"/>
        <v>0.05236035606</v>
      </c>
      <c r="S3" s="24">
        <f t="shared" ref="S3:S6" si="8"> COUNT_STK($BB$2, $G3, $I3)</f>
        <v>4</v>
      </c>
      <c r="T3" s="25">
        <f t="shared" ref="T3:AI3" si="2">LET(
DMG, IFS(T$2 &gt; $F3, $G3 * $E3,  T$2&lt;=$D3, $G3, T$2&gt;$D3, $G3 * ((($E3-1)/($F3-$D3))*T$2 + 1-(($E3-1)/($F3-$D3))*$D3)),
HIP_HitChance, HITCHANCE($B3,T$2,$BD$2, $BC$2),
ADS_HitChance, HITCHANCE($C3,T$2,$BD$2, $BC$2),
MIN( (COUNT_STK($BB$2, DMG, $I3)-1)/HIP_HitChance * 60 / $J3, (COUNT_STK($BB$2, DMG, $I3)-1)/ADS_HitChance * 60 / $J3 + $L3)
)</f>
        <v>0.8</v>
      </c>
      <c r="U3" s="25">
        <f t="shared" si="2"/>
        <v>1</v>
      </c>
      <c r="V3" s="25">
        <f t="shared" si="2"/>
        <v>1</v>
      </c>
      <c r="W3" s="25">
        <f t="shared" si="2"/>
        <v>1</v>
      </c>
      <c r="X3" s="25">
        <f t="shared" si="2"/>
        <v>1</v>
      </c>
      <c r="Y3" s="25">
        <f t="shared" si="2"/>
        <v>1</v>
      </c>
      <c r="Z3" s="25">
        <f t="shared" si="2"/>
        <v>1</v>
      </c>
      <c r="AA3" s="25">
        <f t="shared" si="2"/>
        <v>1</v>
      </c>
      <c r="AB3" s="25">
        <f t="shared" si="2"/>
        <v>1</v>
      </c>
      <c r="AC3" s="25">
        <f t="shared" si="2"/>
        <v>1</v>
      </c>
      <c r="AD3" s="25">
        <f t="shared" si="2"/>
        <v>1.266666667</v>
      </c>
      <c r="AE3" s="25">
        <f t="shared" si="2"/>
        <v>1.266666667</v>
      </c>
      <c r="AF3" s="25">
        <f t="shared" si="2"/>
        <v>1.529168527</v>
      </c>
      <c r="AG3" s="25">
        <f t="shared" si="2"/>
        <v>2.114002679</v>
      </c>
      <c r="AH3" s="25">
        <f t="shared" si="2"/>
        <v>2.805170312</v>
      </c>
      <c r="AI3" s="25">
        <f t="shared" si="2"/>
        <v>3.602671429</v>
      </c>
      <c r="AJ3" s="26">
        <f t="shared" ref="AJ3:AY3" si="3">LET(
DMG, IFS(T$2 &gt; $F3, $G3 * $E3,  T$2&lt;=$D3, $G3, T$2&gt;$D3,  $G3 * ((($E3-1)/($F3-$D3))*T$2 + 1-(($E3-1)/($F3-$D3))*$D3))*$H3,
HIP_HitChance, HITCHANCE_R($B3,T$2,$BE$2),
ADS_HitChance, HITCHANCE_R($C3,T$2,$BE$2),
MIN( (COUNT_STK($BB$2, DMG, $I3)-1)/HIP_HitChance * 60 / $J3, (COUNT_STK($BB$2, DMG, $I3)-1)/ADS_HitChance * 60 / $J3 + $L3)
)</f>
        <v>0.724408745</v>
      </c>
      <c r="AK3" s="25">
        <f t="shared" si="3"/>
        <v>0.7333333333</v>
      </c>
      <c r="AL3" s="25">
        <f t="shared" si="3"/>
        <v>0.7333333333</v>
      </c>
      <c r="AM3" s="25">
        <f t="shared" si="3"/>
        <v>0.7333333333</v>
      </c>
      <c r="AN3" s="25">
        <f t="shared" si="3"/>
        <v>0.7333333333</v>
      </c>
      <c r="AO3" s="25">
        <f t="shared" si="3"/>
        <v>0.7333333333</v>
      </c>
      <c r="AP3" s="25">
        <f t="shared" si="3"/>
        <v>0.7333333333</v>
      </c>
      <c r="AQ3" s="25">
        <f t="shared" si="3"/>
        <v>0.7848761358</v>
      </c>
      <c r="AR3" s="25">
        <f t="shared" si="3"/>
        <v>0.996081407</v>
      </c>
      <c r="AS3" s="25">
        <f t="shared" si="3"/>
        <v>1.239779797</v>
      </c>
      <c r="AT3" s="25">
        <f t="shared" si="3"/>
        <v>1.515971305</v>
      </c>
      <c r="AU3" s="25">
        <f t="shared" si="3"/>
        <v>2.636983899</v>
      </c>
      <c r="AV3" s="25">
        <f t="shared" si="3"/>
        <v>4.007787342</v>
      </c>
      <c r="AW3" s="25">
        <f t="shared" si="3"/>
        <v>5.683213773</v>
      </c>
      <c r="AX3" s="25">
        <f t="shared" si="3"/>
        <v>7.663263191</v>
      </c>
      <c r="AY3" s="27">
        <f t="shared" si="3"/>
        <v>9.947935596</v>
      </c>
    </row>
    <row r="4">
      <c r="A4" s="21" t="s">
        <v>27</v>
      </c>
      <c r="B4" s="21">
        <v>6.0</v>
      </c>
      <c r="C4" s="21">
        <v>0.33</v>
      </c>
      <c r="D4" s="21">
        <v>60.0</v>
      </c>
      <c r="E4" s="21">
        <v>0.6</v>
      </c>
      <c r="F4" s="21">
        <v>90.0</v>
      </c>
      <c r="G4" s="21">
        <v>45.0</v>
      </c>
      <c r="H4" s="21">
        <v>2.0</v>
      </c>
      <c r="I4" s="21">
        <v>1.0</v>
      </c>
      <c r="J4" s="21">
        <v>135.0</v>
      </c>
      <c r="K4" s="21">
        <v>10.0</v>
      </c>
      <c r="L4" s="21">
        <v>0.2</v>
      </c>
      <c r="M4" s="22">
        <v>3.5</v>
      </c>
      <c r="N4" s="23">
        <f t="shared" si="4"/>
        <v>101.25</v>
      </c>
      <c r="O4" s="23">
        <f t="shared" si="5"/>
        <v>60</v>
      </c>
      <c r="P4" s="23">
        <f t="shared" si="6"/>
        <v>3600</v>
      </c>
      <c r="Q4" s="23">
        <f t="shared" ref="Q4:R4" si="7"> TAN(RADIANS(B4)) * 10</f>
        <v>1.051042353</v>
      </c>
      <c r="R4" s="23">
        <f t="shared" si="7"/>
        <v>0.0575965022</v>
      </c>
      <c r="S4" s="24">
        <f t="shared" si="8"/>
        <v>3</v>
      </c>
      <c r="T4" s="25">
        <f t="shared" ref="T4:AI4" si="9">LET(
DMG, IFS(T$2 &gt; $F4, $G4 * $E4,  T$2&lt;=$D4, $G4, T$2&gt;$D4, $G4 * ((($E4-1)/($F4-$D4))*T$2 + 1-(($E4-1)/($F4-$D4))*$D4)),
HIP_HitChance, HITCHANCE($B4,T$2,$BD$2, $BC$2),
ADS_HitChance, HITCHANCE($C4,T$2,$BD$2, $BC$2),
MIN( (COUNT_STK($BB$2, DMG, $I4)-1)/HIP_HitChance * 60 / $J4, (COUNT_STK($BB$2, DMG, $I4)-1)/ADS_HitChance * 60 / $J4 + $L4)
)</f>
        <v>0.8888888889</v>
      </c>
      <c r="U4" s="25">
        <f t="shared" si="9"/>
        <v>1.088888889</v>
      </c>
      <c r="V4" s="25">
        <f t="shared" si="9"/>
        <v>1.088888889</v>
      </c>
      <c r="W4" s="25">
        <f t="shared" si="9"/>
        <v>1.088888889</v>
      </c>
      <c r="X4" s="25">
        <f t="shared" si="9"/>
        <v>1.088888889</v>
      </c>
      <c r="Y4" s="25">
        <f t="shared" si="9"/>
        <v>1.088888889</v>
      </c>
      <c r="Z4" s="25">
        <f t="shared" si="9"/>
        <v>1.088888889</v>
      </c>
      <c r="AA4" s="25">
        <f t="shared" si="9"/>
        <v>1.088888889</v>
      </c>
      <c r="AB4" s="25">
        <f t="shared" si="9"/>
        <v>1.088888889</v>
      </c>
      <c r="AC4" s="25">
        <f t="shared" si="9"/>
        <v>1.533333333</v>
      </c>
      <c r="AD4" s="25">
        <f t="shared" si="9"/>
        <v>1.533333333</v>
      </c>
      <c r="AE4" s="25">
        <f t="shared" si="9"/>
        <v>1.533333333</v>
      </c>
      <c r="AF4" s="25">
        <f t="shared" si="9"/>
        <v>2.210375113</v>
      </c>
      <c r="AG4" s="25">
        <f t="shared" si="9"/>
        <v>3.094940163</v>
      </c>
      <c r="AH4" s="25">
        <f t="shared" si="9"/>
        <v>4.140335221</v>
      </c>
      <c r="AI4" s="25">
        <f t="shared" si="9"/>
        <v>5.346560289</v>
      </c>
      <c r="AJ4" s="26">
        <f t="shared" ref="AJ4:AY4" si="10">LET(
DMG, IFS(T$2 &gt; $F4, $G4 * $E4,  T$2&lt;=$D4, $G4, T$2&gt;$D4,  $G4 * ((($E4-1)/($F4-$D4))*T$2 + 1-(($E4-1)/($F4-$D4))*$D4))*$H4,
HIP_HitChance, HITCHANCE_R($B4,T$2,$BE$2),
ADS_HitChance, HITCHANCE_R($C4,T$2,$BE$2),
MIN( (COUNT_STK($BB$2, DMG, $I4)-1)/HIP_HitChance * 60 / $J4, (COUNT_STK($BB$2, DMG, $I4)-1)/ADS_HitChance * 60 / $J4 + $L4)
)</f>
        <v>0.6444444444</v>
      </c>
      <c r="AK4" s="25">
        <f t="shared" si="10"/>
        <v>0.6444444444</v>
      </c>
      <c r="AL4" s="25">
        <f t="shared" si="10"/>
        <v>0.6444444444</v>
      </c>
      <c r="AM4" s="25">
        <f t="shared" si="10"/>
        <v>0.6444444444</v>
      </c>
      <c r="AN4" s="25">
        <f t="shared" si="10"/>
        <v>0.6444444444</v>
      </c>
      <c r="AO4" s="25">
        <f t="shared" si="10"/>
        <v>0.6444444444</v>
      </c>
      <c r="AP4" s="25">
        <f t="shared" si="10"/>
        <v>0.6444444444</v>
      </c>
      <c r="AQ4" s="25">
        <f t="shared" si="10"/>
        <v>0.7897523672</v>
      </c>
      <c r="AR4" s="25">
        <f t="shared" si="10"/>
        <v>1.0027185</v>
      </c>
      <c r="AS4" s="25">
        <f t="shared" si="10"/>
        <v>1.248448653</v>
      </c>
      <c r="AT4" s="25">
        <f t="shared" si="10"/>
        <v>1.526942826</v>
      </c>
      <c r="AU4" s="25">
        <f t="shared" si="10"/>
        <v>1.83820102</v>
      </c>
      <c r="AV4" s="25">
        <f t="shared" si="10"/>
        <v>2.759689094</v>
      </c>
      <c r="AW4" s="25">
        <f t="shared" si="10"/>
        <v>3.885952295</v>
      </c>
      <c r="AX4" s="25">
        <f t="shared" si="10"/>
        <v>5.216990623</v>
      </c>
      <c r="AY4" s="27">
        <f t="shared" si="10"/>
        <v>6.75280408</v>
      </c>
    </row>
    <row r="5">
      <c r="A5" s="21" t="s">
        <v>28</v>
      </c>
      <c r="B5" s="21">
        <v>5.0</v>
      </c>
      <c r="C5" s="21">
        <v>0.2</v>
      </c>
      <c r="D5" s="21">
        <v>40.0</v>
      </c>
      <c r="E5" s="21">
        <v>0.65</v>
      </c>
      <c r="F5" s="21">
        <v>125.0</v>
      </c>
      <c r="G5" s="21">
        <v>98.0</v>
      </c>
      <c r="H5" s="21">
        <v>2.0</v>
      </c>
      <c r="I5" s="21">
        <v>1.0</v>
      </c>
      <c r="J5" s="21">
        <v>60.0</v>
      </c>
      <c r="K5" s="21">
        <v>5.0</v>
      </c>
      <c r="L5" s="21">
        <v>0.2</v>
      </c>
      <c r="M5" s="22">
        <v>4.0</v>
      </c>
      <c r="N5" s="23">
        <f t="shared" si="4"/>
        <v>98</v>
      </c>
      <c r="O5" s="23">
        <f t="shared" si="5"/>
        <v>61.25</v>
      </c>
      <c r="P5" s="23">
        <f t="shared" si="6"/>
        <v>3675</v>
      </c>
      <c r="Q5" s="23">
        <f t="shared" ref="Q5:R5" si="11"> TAN(RADIANS(B5)) * 10</f>
        <v>0.8748866353</v>
      </c>
      <c r="R5" s="23">
        <f t="shared" si="11"/>
        <v>0.03490672682</v>
      </c>
      <c r="S5" s="24">
        <f t="shared" si="8"/>
        <v>2</v>
      </c>
      <c r="T5" s="25">
        <f t="shared" ref="T5:AI5" si="12">LET(
DMG, IFS(T$2 &gt; $F5, $G5 * $E5,  T$2&lt;=$D5, $G5, T$2&gt;$D5, $G5 * ((($E5-1)/($F5-$D5))*T$2 + 1-(($E5-1)/($F5-$D5))*$D5)),
HIP_HitChance, HITCHANCE($B5,T$2,$BD$2, $BC$2),
ADS_HitChance, HITCHANCE($C5,T$2,$BD$2, $BC$2),
MIN( (COUNT_STK($BB$2, DMG, $I5)-1)/HIP_HitChance * 60 / $J5, (COUNT_STK($BB$2, DMG, $I5)-1)/ADS_HitChance * 60 / $J5 + $L5)
)</f>
        <v>1</v>
      </c>
      <c r="U5" s="25">
        <f t="shared" si="12"/>
        <v>1.2</v>
      </c>
      <c r="V5" s="25">
        <f t="shared" si="12"/>
        <v>1.2</v>
      </c>
      <c r="W5" s="25">
        <f t="shared" si="12"/>
        <v>1.2</v>
      </c>
      <c r="X5" s="25">
        <f t="shared" si="12"/>
        <v>1.2</v>
      </c>
      <c r="Y5" s="25">
        <f t="shared" si="12"/>
        <v>1.2</v>
      </c>
      <c r="Z5" s="25">
        <f t="shared" si="12"/>
        <v>1.2</v>
      </c>
      <c r="AA5" s="25">
        <f t="shared" si="12"/>
        <v>1.2</v>
      </c>
      <c r="AB5" s="25">
        <f t="shared" si="12"/>
        <v>1.2</v>
      </c>
      <c r="AC5" s="25">
        <f t="shared" si="12"/>
        <v>1.2</v>
      </c>
      <c r="AD5" s="25">
        <f t="shared" si="12"/>
        <v>1.2</v>
      </c>
      <c r="AE5" s="25">
        <f t="shared" si="12"/>
        <v>1.2</v>
      </c>
      <c r="AF5" s="25">
        <f t="shared" si="12"/>
        <v>1.2</v>
      </c>
      <c r="AG5" s="25">
        <f t="shared" si="12"/>
        <v>1.2</v>
      </c>
      <c r="AH5" s="25">
        <f t="shared" si="12"/>
        <v>1.285476608</v>
      </c>
      <c r="AI5" s="25">
        <f t="shared" si="12"/>
        <v>1.617765366</v>
      </c>
      <c r="AJ5" s="26">
        <f t="shared" ref="AJ5:AY5" si="13">LET(
DMG, IFS(T$2 &gt; $F5, $G5 * $E5,  T$2&lt;=$D5, $G5, T$2&gt;$D5,  $G5 * ((($E5-1)/($F5-$D5))*T$2 + 1-(($E5-1)/($F5-$D5))*$D5))*$H5,
HIP_HitChance, HITCHANCE_R($B5,T$2,$BE$2),
ADS_HitChance, HITCHANCE_R($C5,T$2,$BE$2),
MIN( (COUNT_STK($BB$2, DMG, $I5)-1)/HIP_HitChance * 60 / $J5, (COUNT_STK($BB$2, DMG, $I5)-1)/ADS_HitChance * 60 / $J5 + $L5)
)</f>
        <v>0</v>
      </c>
      <c r="AK5" s="25">
        <f t="shared" si="13"/>
        <v>0</v>
      </c>
      <c r="AL5" s="25">
        <f t="shared" si="13"/>
        <v>0</v>
      </c>
      <c r="AM5" s="25">
        <f t="shared" si="13"/>
        <v>0</v>
      </c>
      <c r="AN5" s="25">
        <f t="shared" si="13"/>
        <v>0</v>
      </c>
      <c r="AO5" s="25">
        <f t="shared" si="13"/>
        <v>0</v>
      </c>
      <c r="AP5" s="25">
        <f t="shared" si="13"/>
        <v>0</v>
      </c>
      <c r="AQ5" s="25">
        <f t="shared" si="13"/>
        <v>0</v>
      </c>
      <c r="AR5" s="25">
        <f t="shared" si="13"/>
        <v>0</v>
      </c>
      <c r="AS5" s="25">
        <f t="shared" si="13"/>
        <v>0</v>
      </c>
      <c r="AT5" s="25">
        <f t="shared" si="13"/>
        <v>0</v>
      </c>
      <c r="AU5" s="25">
        <f t="shared" si="13"/>
        <v>0</v>
      </c>
      <c r="AV5" s="25">
        <f t="shared" si="13"/>
        <v>0</v>
      </c>
      <c r="AW5" s="25">
        <f t="shared" si="13"/>
        <v>0</v>
      </c>
      <c r="AX5" s="25">
        <f t="shared" si="13"/>
        <v>0</v>
      </c>
      <c r="AY5" s="27">
        <f t="shared" si="13"/>
        <v>0</v>
      </c>
    </row>
    <row r="6">
      <c r="A6" s="21" t="s">
        <v>29</v>
      </c>
      <c r="B6" s="21">
        <v>3.0</v>
      </c>
      <c r="C6" s="21">
        <v>0.1</v>
      </c>
      <c r="D6" s="21">
        <v>125.0</v>
      </c>
      <c r="E6" s="21">
        <v>0.7</v>
      </c>
      <c r="F6" s="21">
        <v>200.0</v>
      </c>
      <c r="G6" s="21">
        <v>60.0</v>
      </c>
      <c r="H6" s="21">
        <v>2.5</v>
      </c>
      <c r="I6" s="21">
        <v>1.0</v>
      </c>
      <c r="J6" s="21">
        <v>65.0</v>
      </c>
      <c r="K6" s="21">
        <v>5.0</v>
      </c>
      <c r="L6" s="21">
        <v>0.2</v>
      </c>
      <c r="M6" s="22">
        <v>4.0</v>
      </c>
      <c r="N6" s="23">
        <f t="shared" si="4"/>
        <v>65</v>
      </c>
      <c r="O6" s="23">
        <f t="shared" si="5"/>
        <v>39</v>
      </c>
      <c r="P6" s="23">
        <f t="shared" si="6"/>
        <v>2340</v>
      </c>
      <c r="Q6" s="23">
        <f t="shared" ref="Q6:R6" si="14"> TAN(RADIANS(B6)) * 10</f>
        <v>0.5240777928</v>
      </c>
      <c r="R6" s="23">
        <f t="shared" si="14"/>
        <v>0.01745331024</v>
      </c>
      <c r="S6" s="24">
        <f t="shared" si="8"/>
        <v>2</v>
      </c>
      <c r="T6" s="25">
        <f t="shared" ref="T6:AI6" si="15">LET(
DMG, IFS(T$2 &gt; $F6, $G6 * $E6,  T$2&lt;=$D6, $G6, T$2&gt;$D6, $G6 * ((($E6-1)/($F6-$D6))*T$2 + 1-(($E6-1)/($F6-$D6))*$D6)),
HIP_HitChance, HITCHANCE($B6,T$2,$BD$2, $BC$2),
ADS_HitChance, HITCHANCE($C6,T$2,$BD$2, $BC$2),
MIN( (COUNT_STK($BB$2, DMG, $I6)-1)/HIP_HitChance * 60 / $J6, (COUNT_STK($BB$2, DMG, $I6)-1)/ADS_HitChance * 60 / $J6 + $L6)
)</f>
        <v>0.9230769231</v>
      </c>
      <c r="U6" s="25">
        <f t="shared" si="15"/>
        <v>0.9230769231</v>
      </c>
      <c r="V6" s="25">
        <f t="shared" si="15"/>
        <v>1.123076923</v>
      </c>
      <c r="W6" s="25">
        <f t="shared" si="15"/>
        <v>1.123076923</v>
      </c>
      <c r="X6" s="25">
        <f t="shared" si="15"/>
        <v>1.123076923</v>
      </c>
      <c r="Y6" s="25">
        <f t="shared" si="15"/>
        <v>1.123076923</v>
      </c>
      <c r="Z6" s="25">
        <f t="shared" si="15"/>
        <v>1.123076923</v>
      </c>
      <c r="AA6" s="25">
        <f t="shared" si="15"/>
        <v>1.123076923</v>
      </c>
      <c r="AB6" s="25">
        <f t="shared" si="15"/>
        <v>1.123076923</v>
      </c>
      <c r="AC6" s="25">
        <f t="shared" si="15"/>
        <v>1.123076923</v>
      </c>
      <c r="AD6" s="25">
        <f t="shared" si="15"/>
        <v>1.123076923</v>
      </c>
      <c r="AE6" s="25">
        <f t="shared" si="15"/>
        <v>1.123076923</v>
      </c>
      <c r="AF6" s="25">
        <f t="shared" si="15"/>
        <v>1.123076923</v>
      </c>
      <c r="AG6" s="25">
        <f t="shared" si="15"/>
        <v>1.123076923</v>
      </c>
      <c r="AH6" s="25">
        <f t="shared" si="15"/>
        <v>2.046153846</v>
      </c>
      <c r="AI6" s="25">
        <f t="shared" si="15"/>
        <v>2.046153846</v>
      </c>
      <c r="AJ6" s="26">
        <f t="shared" ref="AJ6:AY6" si="16">LET(
DMG, IFS(T$2 &gt; $F6, $G6 * $E6,  T$2&lt;=$D6, $G6, T$2&gt;$D6,  $G6 * ((($E6-1)/($F6-$D6))*T$2 + 1-(($E6-1)/($F6-$D6))*$D6))*$H6,
HIP_HitChance, HITCHANCE_R($B6,T$2,$BE$2),
ADS_HitChance, HITCHANCE_R($C6,T$2,$BE$2),
MIN( (COUNT_STK($BB$2, DMG, $I6)-1)/HIP_HitChance * 60 / $J6, (COUNT_STK($BB$2, DMG, $I6)-1)/ADS_HitChance * 60 / $J6 + $L6)
)</f>
        <v>0</v>
      </c>
      <c r="AK6" s="25">
        <f t="shared" si="16"/>
        <v>0</v>
      </c>
      <c r="AL6" s="25">
        <f t="shared" si="16"/>
        <v>0</v>
      </c>
      <c r="AM6" s="25">
        <f t="shared" si="16"/>
        <v>0</v>
      </c>
      <c r="AN6" s="25">
        <f t="shared" si="16"/>
        <v>0</v>
      </c>
      <c r="AO6" s="25">
        <f t="shared" si="16"/>
        <v>0</v>
      </c>
      <c r="AP6" s="25">
        <f t="shared" si="16"/>
        <v>0</v>
      </c>
      <c r="AQ6" s="25">
        <f t="shared" si="16"/>
        <v>0</v>
      </c>
      <c r="AR6" s="25">
        <f t="shared" si="16"/>
        <v>0</v>
      </c>
      <c r="AS6" s="25">
        <f t="shared" si="16"/>
        <v>0</v>
      </c>
      <c r="AT6" s="25">
        <f t="shared" si="16"/>
        <v>0</v>
      </c>
      <c r="AU6" s="25">
        <f t="shared" si="16"/>
        <v>0</v>
      </c>
      <c r="AV6" s="25">
        <f t="shared" si="16"/>
        <v>0</v>
      </c>
      <c r="AW6" s="25">
        <f t="shared" si="16"/>
        <v>0</v>
      </c>
      <c r="AX6" s="25">
        <f t="shared" si="16"/>
        <v>0</v>
      </c>
      <c r="AY6" s="27">
        <f t="shared" si="16"/>
        <v>0</v>
      </c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</row>
    <row r="10">
      <c r="A10" s="28"/>
      <c r="B10" s="28"/>
      <c r="C10" s="28"/>
      <c r="D10" s="28"/>
      <c r="E10" s="28"/>
      <c r="F10" s="28"/>
      <c r="G10" s="30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</row>
    <row r="11">
      <c r="B11" s="31" t="s">
        <v>30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</row>
    <row r="12">
      <c r="B12" s="32" t="s">
        <v>31</v>
      </c>
      <c r="K12" s="28"/>
      <c r="L12" s="28"/>
      <c r="M12" s="28"/>
      <c r="N12" s="28"/>
      <c r="O12" s="28"/>
      <c r="P12" s="28"/>
      <c r="Q12" s="28"/>
      <c r="R12" s="28"/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</row>
    <row r="13">
      <c r="K13" s="28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</row>
    <row r="14">
      <c r="K14" s="28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</row>
    <row r="15">
      <c r="K15" s="28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</row>
    <row r="16">
      <c r="K16" s="28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</row>
    <row r="17">
      <c r="K17" s="28"/>
      <c r="L17" s="28"/>
      <c r="M17" s="28"/>
      <c r="N17" s="28"/>
      <c r="O17" s="28"/>
      <c r="P17" s="28"/>
      <c r="Q17" s="28"/>
      <c r="R17" s="28"/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</row>
    <row r="18">
      <c r="K18" s="28"/>
      <c r="L18" s="28"/>
      <c r="M18" s="28"/>
      <c r="N18" s="28"/>
      <c r="O18" s="28"/>
      <c r="P18" s="28"/>
      <c r="Q18" s="28"/>
      <c r="R18" s="28"/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</row>
    <row r="19">
      <c r="K19" s="28"/>
      <c r="L19" s="28"/>
      <c r="M19" s="28"/>
      <c r="N19" s="28"/>
      <c r="O19" s="28"/>
      <c r="P19" s="28"/>
      <c r="Q19" s="28"/>
      <c r="R19" s="28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</row>
    <row r="20">
      <c r="K20" s="28"/>
      <c r="L20" s="28"/>
      <c r="M20" s="28"/>
      <c r="N20" s="28"/>
      <c r="O20" s="28"/>
      <c r="P20" s="28"/>
      <c r="Q20" s="28"/>
      <c r="R20" s="28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</row>
  </sheetData>
  <mergeCells count="5">
    <mergeCell ref="B1:M1"/>
    <mergeCell ref="N1:S1"/>
    <mergeCell ref="T1:AI1"/>
    <mergeCell ref="AJ1:AY1"/>
    <mergeCell ref="B12:J20"/>
  </mergeCells>
  <drawing r:id="rId1"/>
  <tableParts count="1">
    <tablePart r:id="rId3"/>
  </tableParts>
</worksheet>
</file>